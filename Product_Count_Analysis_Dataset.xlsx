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30F1E9A-03F9-4825-985A-AFB1B979B93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aw Data" sheetId="1" r:id="rId1"/>
    <sheet name="Analysis Template" sheetId="2" r:id="rId2"/>
  </sheets>
  <definedNames>
    <definedName name="_xlnm._FilterDatabase" localSheetId="1" hidden="1">'Analysis Template'!$A$1:$B$4</definedName>
    <definedName name="_xlnm._FilterDatabase" localSheetId="0" hidden="1">'Raw Data'!$A$1:$G$101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B4" i="2"/>
  <c r="B3" i="2"/>
  <c r="B2" i="2"/>
</calcChain>
</file>

<file path=xl/sharedStrings.xml><?xml version="1.0" encoding="utf-8"?>
<sst xmlns="http://schemas.openxmlformats.org/spreadsheetml/2006/main" count="416" uniqueCount="156">
  <si>
    <t>Order ID</t>
  </si>
  <si>
    <t>Order Date</t>
  </si>
  <si>
    <t>Category</t>
  </si>
  <si>
    <t>Sub-Category</t>
  </si>
  <si>
    <t>Product Name</t>
  </si>
  <si>
    <t>Quantity</t>
  </si>
  <si>
    <t>Sales</t>
  </si>
  <si>
    <t>ORD-0001</t>
  </si>
  <si>
    <t>Furniture</t>
  </si>
  <si>
    <t>Chairs</t>
  </si>
  <si>
    <t>Office Chair</t>
  </si>
  <si>
    <t>ORD-0002</t>
  </si>
  <si>
    <t>Technology</t>
  </si>
  <si>
    <t>Phones</t>
  </si>
  <si>
    <t>Office Phone</t>
  </si>
  <si>
    <t>ORD-0003</t>
  </si>
  <si>
    <t>Office Supplies</t>
  </si>
  <si>
    <t>Storage</t>
  </si>
  <si>
    <t>File Tray</t>
  </si>
  <si>
    <t>ORD-0004</t>
  </si>
  <si>
    <t>Visitor Chair</t>
  </si>
  <si>
    <t>ORD-0005</t>
  </si>
  <si>
    <t>Machines</t>
  </si>
  <si>
    <t>Scanner</t>
  </si>
  <si>
    <t>ORD-0006</t>
  </si>
  <si>
    <t>Binders</t>
  </si>
  <si>
    <t>Document Folder</t>
  </si>
  <si>
    <t>ORD-0007</t>
  </si>
  <si>
    <t>ORD-0008</t>
  </si>
  <si>
    <t>Ergonomic Chair</t>
  </si>
  <si>
    <t>ORD-0009</t>
  </si>
  <si>
    <t>Ring Binder</t>
  </si>
  <si>
    <t>ORD-0010</t>
  </si>
  <si>
    <t>ORD-0011</t>
  </si>
  <si>
    <t>Accessories</t>
  </si>
  <si>
    <t>Wireless Mouse</t>
  </si>
  <si>
    <t>ORD-0012</t>
  </si>
  <si>
    <t>Laptop Stand</t>
  </si>
  <si>
    <t>ORD-0013</t>
  </si>
  <si>
    <t>Tables</t>
  </si>
  <si>
    <t>Coffee Table</t>
  </si>
  <si>
    <t>ORD-0014</t>
  </si>
  <si>
    <t>Paper</t>
  </si>
  <si>
    <t>A4 Copy Paper</t>
  </si>
  <si>
    <t>ORD-0015</t>
  </si>
  <si>
    <t>Study Table</t>
  </si>
  <si>
    <t>ORD-0016</t>
  </si>
  <si>
    <t>ORD-0017</t>
  </si>
  <si>
    <t>Bookcases</t>
  </si>
  <si>
    <t>Metal Bookcase</t>
  </si>
  <si>
    <t>ORD-0018</t>
  </si>
  <si>
    <t>Desk Organizer</t>
  </si>
  <si>
    <t>ORD-0019</t>
  </si>
  <si>
    <t>ORD-0020</t>
  </si>
  <si>
    <t>ORD-0021</t>
  </si>
  <si>
    <t>Presentation Binder</t>
  </si>
  <si>
    <t>ORD-0022</t>
  </si>
  <si>
    <t>Conference Table</t>
  </si>
  <si>
    <t>ORD-0023</t>
  </si>
  <si>
    <t>Photo Paper</t>
  </si>
  <si>
    <t>ORD-0024</t>
  </si>
  <si>
    <t>Lever Arch File</t>
  </si>
  <si>
    <t>ORD-0025</t>
  </si>
  <si>
    <t>ORD-0026</t>
  </si>
  <si>
    <t>Sticky Notes</t>
  </si>
  <si>
    <t>ORD-0027</t>
  </si>
  <si>
    <t>Smartphone</t>
  </si>
  <si>
    <t>ORD-0028</t>
  </si>
  <si>
    <t>ORD-0029</t>
  </si>
  <si>
    <t>Calculator</t>
  </si>
  <si>
    <t>ORD-0030</t>
  </si>
  <si>
    <t>ORD-0031</t>
  </si>
  <si>
    <t>ORD-0032</t>
  </si>
  <si>
    <t>Printer</t>
  </si>
  <si>
    <t>ORD-0033</t>
  </si>
  <si>
    <t>Compact Bookcase</t>
  </si>
  <si>
    <t>ORD-0034</t>
  </si>
  <si>
    <t>Computer Table</t>
  </si>
  <si>
    <t>ORD-0035</t>
  </si>
  <si>
    <t>Storage Box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</si>
  <si>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</si>
  <si>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</si>
  <si>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</si>
  <si>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</si>
  <si>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</si>
  <si>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</si>
  <si>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</si>
  <si>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</si>
  <si>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</si>
  <si>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USB Cable</t>
  </si>
  <si>
    <t>ORD-0045</t>
  </si>
  <si>
    <t>ORD-0046</t>
  </si>
  <si>
    <t>ORD-0047</t>
  </si>
  <si>
    <t>Folding Chair</t>
  </si>
  <si>
    <t>ORD-0048</t>
  </si>
  <si>
    <t>Colored Paper</t>
  </si>
  <si>
    <t>ORD-0049</t>
  </si>
  <si>
    <t>Pen Stand</t>
  </si>
  <si>
    <t>ORD-0050</t>
  </si>
  <si>
    <t>ORD-0051</t>
  </si>
  <si>
    <t>ORD-0052</t>
  </si>
  <si>
    <t>ORD-0053</t>
  </si>
  <si>
    <t>ORD-0054</t>
  </si>
  <si>
    <t>ORD-0055</t>
  </si>
  <si>
    <t>Cordless Phone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</si>
  <si>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</si>
  <si>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</si>
  <si>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</si>
  <si>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</si>
  <si>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</si>
  <si>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</si>
  <si>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</si>
  <si>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</si>
  <si>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</si>
  <si>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</si>
  <si>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</si>
  <si>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</si>
  <si>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</si>
  <si>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</si>
  <si>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</si>
  <si>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</si>
  <si>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</si>
  <si>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Wooden Bookcase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</si>
  <si>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</si>
  <si>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</si>
  <si>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</si>
  <si>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</si>
  <si>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</si>
  <si>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</si>
  <si>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</si>
  <si>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</si>
  <si>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</si>
  <si>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</si>
  <si>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</si>
  <si>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</si>
  <si>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</si>
  <si>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</si>
  <si>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</si>
  <si>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</si>
  <si>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</si>
  <si>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</si>
  <si>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</si>
  <si>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</si>
  <si>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</si>
  <si>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</si>
  <si>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</si>
  <si>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</si>
  <si>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</si>
  <si>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</si>
  <si>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</si>
  <si>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</si>
  <si>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Largest Category</t>
  </si>
  <si>
    <t>Highest Count</t>
  </si>
  <si>
    <t>Top Category</t>
  </si>
  <si>
    <t>Product Count</t>
  </si>
  <si>
    <t xml:space="preserve">Product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</si>
</sst>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Count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Template'!$B$1</c:f>
              <c:strCache>
                <c:ptCount val="1"/>
                <c:pt idx="0">
                  <c:v>Product Count 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chemeClr val="tx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2700">
                <a:solidFill>
                  <a:schemeClr val="tx1"/>
                </a:solidFill>
              </a:ln>
              <a:effectLst/>
            </c:spPr>
          </c:dPt>
          <c:cat>
            <c:strRef>
              <c:f>'Analysis Template'!$A$2:$A$4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'Analysis Template'!$B$2:$B$4</c:f>
              <c:numCache>
                <c:formatCode>General</c:formatCode>
                <c:ptCount val="3"/>
                <c:pt idx="0">
                  <c:v>31</c:v>
                </c:pt>
                <c:pt idx="1">
                  <c:v>39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F-48EB-A175-2995EA9CF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702160"/>
        <c:axId val="1900056896"/>
      </c:barChart>
      <c:catAx>
        <c:axId val="19637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056896"/>
        <c:crosses val="autoZero"/>
        <c:auto val="1"/>
        <c:lblAlgn val="ctr"/>
        <c:lblOffset val="100"/>
        <c:noMultiLvlLbl val="0"/>
      </c:catAx>
      <c:valAx>
        <c:axId val="190005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7021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33CCCC">
        <a:alpha val="40000"/>
      </a:srgb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171450</xdr:rowOff>
    </xdr:from>
    <xdr:to>
      <xdr:col>3</xdr:col>
      <xdr:colOff>28575</xdr:colOff>
      <xdr:row>16</xdr:row>
      <xdr:rowOff>142881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D8BA5-9AD6-7E31-2838-D81D67893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7" customWidth="1"/>
    <col min="4" max="4" width="14" customWidth="1"/>
    <col min="5" max="5" width="21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46103</v>
      </c>
      <c r="C2" t="s">
        <v>8</v>
      </c>
      <c r="D2" t="s">
        <v>9</v>
      </c>
      <c r="E2" t="s">
        <v>10</v>
      </c>
      <c r="F2">
        <v>4</v>
      </c>
      <c r="G2">
        <v>290.95</v>
      </c>
    </row>
    <row r="3" spans="1:7" x14ac:dyDescent="0.25">
      <c r="A3" t="s">
        <v>11</v>
      </c>
      <c r="B3" s="2">
        <v>46211</v>
      </c>
      <c r="C3" t="s">
        <v>12</v>
      </c>
      <c r="D3" t="s">
        <v>13</v>
      </c>
      <c r="E3" t="s">
        <v>14</v>
      </c>
      <c r="F3">
        <v>4</v>
      </c>
      <c r="G3">
        <v>1128.03</v>
      </c>
    </row>
    <row r="4" spans="1:7" x14ac:dyDescent="0.25">
      <c r="A4" t="s">
        <v>15</v>
      </c>
      <c r="B4" s="2">
        <v>46166</v>
      </c>
      <c r="C4" t="s">
        <v>16</v>
      </c>
      <c r="D4" t="s">
        <v>17</v>
      </c>
      <c r="E4" t="s">
        <v>18</v>
      </c>
      <c r="F4">
        <v>7</v>
      </c>
      <c r="G4">
        <v>2348.67</v>
      </c>
    </row>
    <row r="5" spans="1:7" x14ac:dyDescent="0.25">
      <c r="A5" t="s">
        <v>19</v>
      </c>
      <c r="B5" s="2">
        <v>46183</v>
      </c>
      <c r="C5" t="s">
        <v>8</v>
      </c>
      <c r="D5" t="s">
        <v>9</v>
      </c>
      <c r="E5" t="s">
        <v>20</v>
      </c>
      <c r="F5">
        <v>4</v>
      </c>
      <c r="G5">
        <v>2702.08</v>
      </c>
    </row>
    <row r="6" spans="1:7" x14ac:dyDescent="0.25">
      <c r="A6" t="s">
        <v>21</v>
      </c>
      <c r="B6" s="2">
        <v>46141</v>
      </c>
      <c r="C6" t="s">
        <v>12</v>
      </c>
      <c r="D6" t="s">
        <v>22</v>
      </c>
      <c r="E6" t="s">
        <v>23</v>
      </c>
      <c r="F6">
        <v>8</v>
      </c>
      <c r="G6">
        <v>7169.65</v>
      </c>
    </row>
    <row r="7" spans="1:7" x14ac:dyDescent="0.25">
      <c r="A7" t="s">
        <v>24</v>
      </c>
      <c r="B7" s="2">
        <v>46207</v>
      </c>
      <c r="C7" t="s">
        <v>16</v>
      </c>
      <c r="D7" t="s">
        <v>25</v>
      </c>
      <c r="E7" t="s">
        <v>26</v>
      </c>
      <c r="F7">
        <v>8</v>
      </c>
      <c r="G7">
        <v>4906.29</v>
      </c>
    </row>
    <row r="8" spans="1:7" x14ac:dyDescent="0.25">
      <c r="A8" t="s">
        <v>27</v>
      </c>
      <c r="B8" s="2">
        <v>46230</v>
      </c>
      <c r="C8" t="s">
        <v>12</v>
      </c>
      <c r="D8" t="s">
        <v>22</v>
      </c>
      <c r="E8" t="s">
        <v>23</v>
      </c>
      <c r="F8">
        <v>2</v>
      </c>
      <c r="G8">
        <v>4243.6400000000003</v>
      </c>
    </row>
    <row r="9" spans="1:7" x14ac:dyDescent="0.25">
      <c r="A9" t="s">
        <v>28</v>
      </c>
      <c r="B9" s="2">
        <v>46111</v>
      </c>
      <c r="C9" t="s">
        <v>8</v>
      </c>
      <c r="D9" t="s">
        <v>9</v>
      </c>
      <c r="E9" t="s">
        <v>29</v>
      </c>
      <c r="F9">
        <v>1</v>
      </c>
      <c r="G9">
        <v>2543.25</v>
      </c>
    </row>
    <row r="10" spans="1:7" x14ac:dyDescent="0.25">
      <c r="A10" t="s">
        <v>30</v>
      </c>
      <c r="B10" s="2">
        <v>46082</v>
      </c>
      <c r="C10" t="s">
        <v>16</v>
      </c>
      <c r="D10" t="s">
        <v>25</v>
      </c>
      <c r="E10" t="s">
        <v>31</v>
      </c>
      <c r="F10">
        <v>7</v>
      </c>
      <c r="G10">
        <v>545.91999999999996</v>
      </c>
    </row>
    <row r="11" spans="1:7" x14ac:dyDescent="0.25">
      <c r="A11" t="s">
        <v>32</v>
      </c>
      <c r="B11" s="2">
        <v>46228</v>
      </c>
      <c r="C11" t="s">
        <v>16</v>
      </c>
      <c r="D11" t="s">
        <v>17</v>
      </c>
      <c r="E11" t="s">
        <v>18</v>
      </c>
      <c r="F11">
        <v>4</v>
      </c>
      <c r="G11">
        <v>1646.42</v>
      </c>
    </row>
    <row r="12" spans="1:7" x14ac:dyDescent="0.25">
      <c r="A12" t="s">
        <v>33</v>
      </c>
      <c r="B12" s="2">
        <v>46143</v>
      </c>
      <c r="C12" t="s">
        <v>12</v>
      </c>
      <c r="D12" t="s">
        <v>34</v>
      </c>
      <c r="E12" t="s">
        <v>35</v>
      </c>
      <c r="F12">
        <v>5</v>
      </c>
      <c r="G12">
        <v>2748.8</v>
      </c>
    </row>
    <row r="13" spans="1:7" x14ac:dyDescent="0.25">
      <c r="A13" t="s">
        <v>36</v>
      </c>
      <c r="B13" s="2">
        <v>46266</v>
      </c>
      <c r="C13" t="s">
        <v>12</v>
      </c>
      <c r="D13" t="s">
        <v>34</v>
      </c>
      <c r="E13" t="s">
        <v>37</v>
      </c>
      <c r="F13">
        <v>6</v>
      </c>
      <c r="G13">
        <v>7415.98</v>
      </c>
    </row>
    <row r="14" spans="1:7" x14ac:dyDescent="0.25">
      <c r="A14" t="s">
        <v>38</v>
      </c>
      <c r="B14" s="2">
        <v>46095</v>
      </c>
      <c r="C14" t="s">
        <v>8</v>
      </c>
      <c r="D14" t="s">
        <v>39</v>
      </c>
      <c r="E14" t="s">
        <v>40</v>
      </c>
      <c r="F14">
        <v>2</v>
      </c>
      <c r="G14">
        <v>5797.87</v>
      </c>
    </row>
    <row r="15" spans="1:7" x14ac:dyDescent="0.25">
      <c r="A15" t="s">
        <v>41</v>
      </c>
      <c r="B15" s="2">
        <v>46156</v>
      </c>
      <c r="C15" t="s">
        <v>16</v>
      </c>
      <c r="D15" t="s">
        <v>42</v>
      </c>
      <c r="E15" t="s">
        <v>43</v>
      </c>
      <c r="F15">
        <v>2</v>
      </c>
      <c r="G15">
        <v>2548.2199999999998</v>
      </c>
    </row>
    <row r="16" spans="1:7" x14ac:dyDescent="0.25">
      <c r="A16" t="s">
        <v>44</v>
      </c>
      <c r="B16" s="2">
        <v>46153</v>
      </c>
      <c r="C16" t="s">
        <v>8</v>
      </c>
      <c r="D16" t="s">
        <v>39</v>
      </c>
      <c r="E16" t="s">
        <v>45</v>
      </c>
      <c r="F16">
        <v>3</v>
      </c>
      <c r="G16">
        <v>7020.27</v>
      </c>
    </row>
    <row r="17" spans="1:7" x14ac:dyDescent="0.25">
      <c r="A17" t="s">
        <v>46</v>
      </c>
      <c r="B17" s="2">
        <v>46045</v>
      </c>
      <c r="C17" t="s">
        <v>12</v>
      </c>
      <c r="D17" t="s">
        <v>34</v>
      </c>
      <c r="E17" t="s">
        <v>37</v>
      </c>
      <c r="F17">
        <v>1</v>
      </c>
      <c r="G17">
        <v>4111.7700000000004</v>
      </c>
    </row>
    <row r="18" spans="1:7" x14ac:dyDescent="0.25">
      <c r="A18" t="s">
        <v>47</v>
      </c>
      <c r="B18" s="2">
        <v>46141</v>
      </c>
      <c r="C18" t="s">
        <v>8</v>
      </c>
      <c r="D18" t="s">
        <v>48</v>
      </c>
      <c r="E18" t="s">
        <v>49</v>
      </c>
      <c r="F18">
        <v>8</v>
      </c>
      <c r="G18">
        <v>5931.77</v>
      </c>
    </row>
    <row r="19" spans="1:7" x14ac:dyDescent="0.25">
      <c r="A19" t="s">
        <v>50</v>
      </c>
      <c r="B19" s="2">
        <v>46027</v>
      </c>
      <c r="C19" t="s">
        <v>16</v>
      </c>
      <c r="D19" t="s">
        <v>17</v>
      </c>
      <c r="E19" t="s">
        <v>51</v>
      </c>
      <c r="F19">
        <v>1</v>
      </c>
      <c r="G19">
        <v>2931.43</v>
      </c>
    </row>
    <row r="20" spans="1:7" x14ac:dyDescent="0.25">
      <c r="A20" t="s">
        <v>52</v>
      </c>
      <c r="B20" s="2">
        <v>46200</v>
      </c>
      <c r="C20" t="s">
        <v>12</v>
      </c>
      <c r="D20" t="s">
        <v>34</v>
      </c>
      <c r="E20" t="s">
        <v>37</v>
      </c>
      <c r="F20">
        <v>1</v>
      </c>
      <c r="G20">
        <v>5314.93</v>
      </c>
    </row>
    <row r="21" spans="1:7" x14ac:dyDescent="0.25">
      <c r="A21" t="s">
        <v>53</v>
      </c>
      <c r="B21" s="2">
        <v>46182</v>
      </c>
      <c r="C21" t="s">
        <v>12</v>
      </c>
      <c r="D21" t="s">
        <v>34</v>
      </c>
      <c r="E21" t="s">
        <v>37</v>
      </c>
      <c r="F21">
        <v>1</v>
      </c>
      <c r="G21">
        <v>6835.88</v>
      </c>
    </row>
    <row r="22" spans="1:7" x14ac:dyDescent="0.25">
      <c r="A22" t="s">
        <v>54</v>
      </c>
      <c r="B22" s="2">
        <v>46221</v>
      </c>
      <c r="C22" t="s">
        <v>16</v>
      </c>
      <c r="D22" t="s">
        <v>25</v>
      </c>
      <c r="E22" t="s">
        <v>55</v>
      </c>
      <c r="F22">
        <v>1</v>
      </c>
      <c r="G22">
        <v>1351.44</v>
      </c>
    </row>
    <row r="23" spans="1:7" x14ac:dyDescent="0.25">
      <c r="A23" t="s">
        <v>56</v>
      </c>
      <c r="B23" s="2">
        <v>46189</v>
      </c>
      <c r="C23" t="s">
        <v>8</v>
      </c>
      <c r="D23" t="s">
        <v>39</v>
      </c>
      <c r="E23" t="s">
        <v>57</v>
      </c>
      <c r="F23">
        <v>4</v>
      </c>
      <c r="G23">
        <v>5864.82</v>
      </c>
    </row>
    <row r="24" spans="1:7" x14ac:dyDescent="0.25">
      <c r="A24" t="s">
        <v>58</v>
      </c>
      <c r="B24" s="2">
        <v>46024</v>
      </c>
      <c r="C24" t="s">
        <v>16</v>
      </c>
      <c r="D24" t="s">
        <v>42</v>
      </c>
      <c r="E24" t="s">
        <v>59</v>
      </c>
      <c r="F24">
        <v>6</v>
      </c>
      <c r="G24">
        <v>6012.36</v>
      </c>
    </row>
    <row r="25" spans="1:7" x14ac:dyDescent="0.25">
      <c r="A25" t="s">
        <v>60</v>
      </c>
      <c r="B25" s="2">
        <v>46281</v>
      </c>
      <c r="C25" t="s">
        <v>16</v>
      </c>
      <c r="D25" t="s">
        <v>25</v>
      </c>
      <c r="E25" t="s">
        <v>61</v>
      </c>
      <c r="F25">
        <v>2</v>
      </c>
      <c r="G25">
        <v>8392.91</v>
      </c>
    </row>
    <row r="26" spans="1:7" x14ac:dyDescent="0.25">
      <c r="A26" t="s">
        <v>62</v>
      </c>
      <c r="B26" s="2">
        <v>46194</v>
      </c>
      <c r="C26" t="s">
        <v>12</v>
      </c>
      <c r="D26" t="s">
        <v>22</v>
      </c>
      <c r="E26" t="s">
        <v>23</v>
      </c>
      <c r="F26">
        <v>3</v>
      </c>
      <c r="G26">
        <v>2952.6</v>
      </c>
    </row>
    <row r="27" spans="1:7" x14ac:dyDescent="0.25">
      <c r="A27" t="s">
        <v>63</v>
      </c>
      <c r="B27" s="2">
        <v>46270</v>
      </c>
      <c r="C27" t="s">
        <v>16</v>
      </c>
      <c r="D27" t="s">
        <v>42</v>
      </c>
      <c r="E27" t="s">
        <v>64</v>
      </c>
      <c r="F27">
        <v>2</v>
      </c>
      <c r="G27">
        <v>3439.35</v>
      </c>
    </row>
    <row r="28" spans="1:7" x14ac:dyDescent="0.25">
      <c r="A28" t="s">
        <v>65</v>
      </c>
      <c r="B28" s="2">
        <v>46102</v>
      </c>
      <c r="C28" t="s">
        <v>12</v>
      </c>
      <c r="D28" t="s">
        <v>13</v>
      </c>
      <c r="E28" t="s">
        <v>66</v>
      </c>
      <c r="F28">
        <v>8</v>
      </c>
      <c r="G28">
        <v>7151.44</v>
      </c>
    </row>
    <row r="29" spans="1:7" x14ac:dyDescent="0.25">
      <c r="A29" t="s">
        <v>67</v>
      </c>
      <c r="B29" s="2">
        <v>46187</v>
      </c>
      <c r="C29" t="s">
        <v>12</v>
      </c>
      <c r="D29" t="s">
        <v>13</v>
      </c>
      <c r="E29" t="s">
        <v>14</v>
      </c>
      <c r="F29">
        <v>6</v>
      </c>
      <c r="G29">
        <v>3537.85</v>
      </c>
    </row>
    <row r="30" spans="1:7" x14ac:dyDescent="0.25">
      <c r="A30" t="s">
        <v>68</v>
      </c>
      <c r="B30" s="2">
        <v>46082</v>
      </c>
      <c r="C30" t="s">
        <v>12</v>
      </c>
      <c r="D30" t="s">
        <v>22</v>
      </c>
      <c r="E30" t="s">
        <v>69</v>
      </c>
      <c r="F30">
        <v>8</v>
      </c>
      <c r="G30">
        <v>5052.8900000000003</v>
      </c>
    </row>
    <row r="31" spans="1:7" x14ac:dyDescent="0.25">
      <c r="A31" t="s">
        <v>70</v>
      </c>
      <c r="B31" s="2">
        <v>46258</v>
      </c>
      <c r="C31" t="s">
        <v>12</v>
      </c>
      <c r="D31" t="s">
        <v>22</v>
      </c>
      <c r="E31" t="s">
        <v>23</v>
      </c>
      <c r="F31">
        <v>7</v>
      </c>
      <c r="G31">
        <v>388.52</v>
      </c>
    </row>
    <row r="32" spans="1:7" x14ac:dyDescent="0.25">
      <c r="A32" t="s">
        <v>71</v>
      </c>
      <c r="B32" s="2">
        <v>46205</v>
      </c>
      <c r="C32" t="s">
        <v>16</v>
      </c>
      <c r="D32" t="s">
        <v>25</v>
      </c>
      <c r="E32" t="s">
        <v>55</v>
      </c>
      <c r="F32">
        <v>3</v>
      </c>
      <c r="G32">
        <v>654.53</v>
      </c>
    </row>
    <row r="33" spans="1:7" x14ac:dyDescent="0.25">
      <c r="A33" t="s">
        <v>72</v>
      </c>
      <c r="B33" s="2">
        <v>46073</v>
      </c>
      <c r="C33" t="s">
        <v>12</v>
      </c>
      <c r="D33" t="s">
        <v>22</v>
      </c>
      <c r="E33" t="s">
        <v>73</v>
      </c>
      <c r="F33">
        <v>2</v>
      </c>
      <c r="G33">
        <v>5545.07</v>
      </c>
    </row>
    <row r="34" spans="1:7" x14ac:dyDescent="0.25">
      <c r="A34" t="s">
        <v>74</v>
      </c>
      <c r="B34" s="2">
        <v>46059</v>
      </c>
      <c r="C34" t="s">
        <v>8</v>
      </c>
      <c r="D34" t="s">
        <v>48</v>
      </c>
      <c r="E34" t="s">
        <v>75</v>
      </c>
      <c r="F34">
        <v>8</v>
      </c>
      <c r="G34">
        <v>4619.84</v>
      </c>
    </row>
    <row r="35" spans="1:7" x14ac:dyDescent="0.25">
      <c r="A35" t="s">
        <v>76</v>
      </c>
      <c r="B35" s="2">
        <v>46051</v>
      </c>
      <c r="C35" t="s">
        <v>8</v>
      </c>
      <c r="D35" t="s">
        <v>39</v>
      </c>
      <c r="E35" t="s">
        <v>77</v>
      </c>
      <c r="F35">
        <v>6</v>
      </c>
      <c r="G35">
        <v>3640.25</v>
      </c>
    </row>
    <row r="36" spans="1:7" x14ac:dyDescent="0.25">
      <c r="A36" t="s">
        <v>78</v>
      </c>
      <c r="B36" s="2">
        <v>46213</v>
      </c>
      <c r="C36" t="s">
        <v>16</v>
      </c>
      <c r="D36" t="s">
        <v>17</v>
      </c>
      <c r="E36" t="s">
        <v>79</v>
      </c>
      <c r="F36">
        <v>3</v>
      </c>
      <c r="G36">
        <v>4335.72</v>
      </c>
    </row>
    <row r="37" spans="1:7" x14ac:dyDescent="0.25">
      <c r="A37" t="s">
        <v>80</v>
      </c>
      <c r="B37" s="2">
        <v>46262</v>
      </c>
      <c r="C37" t="s">
        <v>16</v>
      </c>
      <c r="D37" t="s">
        <v>42</v>
      </c>
      <c r="E37" t="s">
        <v>64</v>
      </c>
      <c r="F37">
        <v>3</v>
      </c>
      <c r="G37">
        <v>3760.9</v>
      </c>
    </row>
    <row r="38" spans="1:7" x14ac:dyDescent="0.25">
      <c r="A38" t="s">
        <v>81</v>
      </c>
      <c r="B38" s="2">
        <v>46149</v>
      </c>
      <c r="C38" t="s">
        <v>16</v>
      </c>
      <c r="D38" t="s">
        <v>42</v>
      </c>
      <c r="E38" t="s">
        <v>64</v>
      </c>
      <c r="F38">
        <v>1</v>
      </c>
      <c r="G38">
        <v>3923.53</v>
      </c>
    </row>
    <row r="39" spans="1:7" x14ac:dyDescent="0.25">
      <c r="A39" t="s">
        <v>82</v>
      </c>
      <c r="B39" s="2">
        <v>46040</v>
      </c>
      <c r="C39" t="s">
        <v>16</v>
      </c>
      <c r="D39" t="s">
        <v>17</v>
      </c>
      <c r="E39" t="s">
        <v>79</v>
      </c>
      <c r="F39">
        <v>1</v>
      </c>
      <c r="G39">
        <v>5260.18</v>
      </c>
    </row>
    <row r="40" spans="1:7" x14ac:dyDescent="0.25">
      <c r="A40" t="s">
        <v>83</v>
      </c>
      <c r="B40" s="2">
        <v>46195</v>
      </c>
      <c r="C40" t="s">
        <v>16</v>
      </c>
      <c r="D40" t="s">
        <v>42</v>
      </c>
      <c r="E40" t="s">
        <v>43</v>
      </c>
      <c r="F40">
        <v>8</v>
      </c>
      <c r="G40">
        <v>7553.36</v>
      </c>
    </row>
    <row r="41" spans="1:7" x14ac:dyDescent="0.25">
      <c r="A41" t="s">
        <v>84</v>
      </c>
      <c r="B41" s="2">
        <v>46255</v>
      </c>
      <c r="C41" t="s">
        <v>12</v>
      </c>
      <c r="D41" t="s">
        <v>34</v>
      </c>
      <c r="E41" t="s">
        <v>37</v>
      </c>
      <c r="F41">
        <v>8</v>
      </c>
      <c r="G41">
        <v>3533.5</v>
      </c>
    </row>
    <row r="42" spans="1:7" x14ac:dyDescent="0.25">
      <c r="A42" t="s">
        <v>85</v>
      </c>
      <c r="B42" s="2">
        <v>46108</v>
      </c>
      <c r="C42" t="s">
        <v>12</v>
      </c>
      <c r="D42" t="s">
        <v>22</v>
      </c>
      <c r="E42" t="s">
        <v>73</v>
      </c>
      <c r="F42">
        <v>6</v>
      </c>
      <c r="G42">
        <v>3908.47</v>
      </c>
    </row>
    <row r="43" spans="1:7" x14ac:dyDescent="0.25">
      <c r="A43" t="s">
        <v>86</v>
      </c>
      <c r="B43" s="2">
        <v>46066</v>
      </c>
      <c r="C43" t="s">
        <v>16</v>
      </c>
      <c r="D43" t="s">
        <v>42</v>
      </c>
      <c r="E43" t="s">
        <v>64</v>
      </c>
      <c r="F43">
        <v>4</v>
      </c>
      <c r="G43">
        <v>7230.29</v>
      </c>
    </row>
    <row r="44" spans="1:7" x14ac:dyDescent="0.25">
      <c r="A44" t="s">
        <v>87</v>
      </c>
      <c r="B44" s="2">
        <v>46227</v>
      </c>
      <c r="C44" t="s">
        <v>8</v>
      </c>
      <c r="D44" t="s">
        <v>48</v>
      </c>
      <c r="E44" t="s">
        <v>75</v>
      </c>
      <c r="F44">
        <v>2</v>
      </c>
      <c r="G44">
        <v>5956.67</v>
      </c>
    </row>
    <row r="45" spans="1:7" x14ac:dyDescent="0.25">
      <c r="A45" t="s">
        <v>88</v>
      </c>
      <c r="B45" s="2">
        <v>46253</v>
      </c>
      <c r="C45" t="s">
        <v>12</v>
      </c>
      <c r="D45" t="s">
        <v>34</v>
      </c>
      <c r="E45" t="s">
        <v>89</v>
      </c>
      <c r="F45">
        <v>5</v>
      </c>
      <c r="G45">
        <v>1618.99</v>
      </c>
    </row>
    <row r="46" spans="1:7" x14ac:dyDescent="0.25">
      <c r="A46" t="s">
        <v>90</v>
      </c>
      <c r="B46" s="2">
        <v>46178</v>
      </c>
      <c r="C46" t="s">
        <v>16</v>
      </c>
      <c r="D46" t="s">
        <v>42</v>
      </c>
      <c r="E46" t="s">
        <v>43</v>
      </c>
      <c r="F46">
        <v>4</v>
      </c>
      <c r="G46">
        <v>2403.9</v>
      </c>
    </row>
    <row r="47" spans="1:7" x14ac:dyDescent="0.25">
      <c r="A47" t="s">
        <v>91</v>
      </c>
      <c r="B47" s="2">
        <v>46100</v>
      </c>
      <c r="C47" t="s">
        <v>12</v>
      </c>
      <c r="D47" t="s">
        <v>34</v>
      </c>
      <c r="E47" t="s">
        <v>89</v>
      </c>
      <c r="F47">
        <v>8</v>
      </c>
      <c r="G47">
        <v>5661.32</v>
      </c>
    </row>
    <row r="48" spans="1:7" x14ac:dyDescent="0.25">
      <c r="A48" t="s">
        <v>92</v>
      </c>
      <c r="B48" s="2">
        <v>46084</v>
      </c>
      <c r="C48" t="s">
        <v>8</v>
      </c>
      <c r="D48" t="s">
        <v>9</v>
      </c>
      <c r="E48" t="s">
        <v>93</v>
      </c>
      <c r="F48">
        <v>4</v>
      </c>
      <c r="G48">
        <v>6766.11</v>
      </c>
    </row>
    <row r="49" spans="1:7" x14ac:dyDescent="0.25">
      <c r="A49" t="s">
        <v>94</v>
      </c>
      <c r="B49" s="2">
        <v>46169</v>
      </c>
      <c r="C49" t="s">
        <v>16</v>
      </c>
      <c r="D49" t="s">
        <v>42</v>
      </c>
      <c r="E49" t="s">
        <v>95</v>
      </c>
      <c r="F49">
        <v>7</v>
      </c>
      <c r="G49">
        <v>6002.04</v>
      </c>
    </row>
    <row r="50" spans="1:7" x14ac:dyDescent="0.25">
      <c r="A50" t="s">
        <v>96</v>
      </c>
      <c r="B50" s="2">
        <v>46263</v>
      </c>
      <c r="C50" t="s">
        <v>16</v>
      </c>
      <c r="D50" t="s">
        <v>17</v>
      </c>
      <c r="E50" t="s">
        <v>97</v>
      </c>
      <c r="F50">
        <v>4</v>
      </c>
      <c r="G50">
        <v>2835.16</v>
      </c>
    </row>
    <row r="51" spans="1:7" x14ac:dyDescent="0.25">
      <c r="A51" t="s">
        <v>98</v>
      </c>
      <c r="B51" s="2">
        <v>46216</v>
      </c>
      <c r="C51" t="s">
        <v>16</v>
      </c>
      <c r="D51" t="s">
        <v>42</v>
      </c>
      <c r="E51" t="s">
        <v>59</v>
      </c>
      <c r="F51">
        <v>6</v>
      </c>
      <c r="G51">
        <v>5700.24</v>
      </c>
    </row>
    <row r="52" spans="1:7" x14ac:dyDescent="0.25">
      <c r="A52" t="s">
        <v>99</v>
      </c>
      <c r="B52" s="2">
        <v>46138</v>
      </c>
      <c r="C52" t="s">
        <v>8</v>
      </c>
      <c r="D52" t="s">
        <v>9</v>
      </c>
      <c r="E52" t="s">
        <v>93</v>
      </c>
      <c r="F52">
        <v>4</v>
      </c>
      <c r="G52">
        <v>4913.04</v>
      </c>
    </row>
    <row r="53" spans="1:7" x14ac:dyDescent="0.25">
      <c r="A53" t="s">
        <v>100</v>
      </c>
      <c r="B53" s="2">
        <v>46154</v>
      </c>
      <c r="C53" t="s">
        <v>8</v>
      </c>
      <c r="D53" t="s">
        <v>9</v>
      </c>
      <c r="E53" t="s">
        <v>20</v>
      </c>
      <c r="F53">
        <v>4</v>
      </c>
      <c r="G53">
        <v>2144.11</v>
      </c>
    </row>
    <row r="54" spans="1:7" x14ac:dyDescent="0.25">
      <c r="A54" t="s">
        <v>101</v>
      </c>
      <c r="B54" s="2">
        <v>46143</v>
      </c>
      <c r="C54" t="s">
        <v>16</v>
      </c>
      <c r="D54" t="s">
        <v>42</v>
      </c>
      <c r="E54" t="s">
        <v>95</v>
      </c>
      <c r="F54">
        <v>8</v>
      </c>
      <c r="G54">
        <v>7969.05</v>
      </c>
    </row>
    <row r="55" spans="1:7" x14ac:dyDescent="0.25">
      <c r="A55" t="s">
        <v>102</v>
      </c>
      <c r="B55" s="2">
        <v>46132</v>
      </c>
      <c r="C55" t="s">
        <v>8</v>
      </c>
      <c r="D55" t="s">
        <v>48</v>
      </c>
      <c r="E55" t="s">
        <v>75</v>
      </c>
      <c r="F55">
        <v>6</v>
      </c>
      <c r="G55">
        <v>5348.27</v>
      </c>
    </row>
    <row r="56" spans="1:7" x14ac:dyDescent="0.25">
      <c r="A56" t="s">
        <v>103</v>
      </c>
      <c r="B56" s="2">
        <v>46053</v>
      </c>
      <c r="C56" t="s">
        <v>12</v>
      </c>
      <c r="D56" t="s">
        <v>13</v>
      </c>
      <c r="E56" t="s">
        <v>104</v>
      </c>
      <c r="F56">
        <v>4</v>
      </c>
      <c r="G56">
        <v>475.38</v>
      </c>
    </row>
    <row r="57" spans="1:7" x14ac:dyDescent="0.25">
      <c r="A57" t="s">
        <v>105</v>
      </c>
      <c r="B57" s="2">
        <v>46185</v>
      </c>
      <c r="C57" t="s">
        <v>16</v>
      </c>
      <c r="D57" t="s">
        <v>42</v>
      </c>
      <c r="E57" t="s">
        <v>59</v>
      </c>
      <c r="F57">
        <v>6</v>
      </c>
      <c r="G57">
        <v>3164.66</v>
      </c>
    </row>
    <row r="58" spans="1:7" x14ac:dyDescent="0.25">
      <c r="A58" t="s">
        <v>106</v>
      </c>
      <c r="B58" s="2">
        <v>46218</v>
      </c>
      <c r="C58" t="s">
        <v>12</v>
      </c>
      <c r="D58" t="s">
        <v>22</v>
      </c>
      <c r="E58" t="s">
        <v>69</v>
      </c>
      <c r="F58">
        <v>1</v>
      </c>
      <c r="G58">
        <v>7838.99</v>
      </c>
    </row>
    <row r="59" spans="1:7" x14ac:dyDescent="0.25">
      <c r="A59" t="s">
        <v>107</v>
      </c>
      <c r="B59" s="2">
        <v>46236</v>
      </c>
      <c r="C59" t="s">
        <v>16</v>
      </c>
      <c r="D59" t="s">
        <v>17</v>
      </c>
      <c r="E59" t="s">
        <v>79</v>
      </c>
      <c r="F59">
        <v>2</v>
      </c>
      <c r="G59">
        <v>5758.85</v>
      </c>
    </row>
    <row r="60" spans="1:7" x14ac:dyDescent="0.25">
      <c r="A60" t="s">
        <v>108</v>
      </c>
      <c r="B60" s="2">
        <v>46085</v>
      </c>
      <c r="C60" t="s">
        <v>8</v>
      </c>
      <c r="D60" t="s">
        <v>39</v>
      </c>
      <c r="E60" t="s">
        <v>77</v>
      </c>
      <c r="F60">
        <v>1</v>
      </c>
      <c r="G60">
        <v>5367.65</v>
      </c>
    </row>
    <row r="61" spans="1:7" x14ac:dyDescent="0.25">
      <c r="A61" t="s">
        <v>109</v>
      </c>
      <c r="B61" s="2">
        <v>46245</v>
      </c>
      <c r="C61" t="s">
        <v>8</v>
      </c>
      <c r="D61" t="s">
        <v>48</v>
      </c>
      <c r="E61" t="s">
        <v>49</v>
      </c>
      <c r="F61">
        <v>6</v>
      </c>
      <c r="G61">
        <v>1431.03</v>
      </c>
    </row>
    <row r="62" spans="1:7" x14ac:dyDescent="0.25">
      <c r="A62" t="s">
        <v>110</v>
      </c>
      <c r="B62" s="2">
        <v>46094</v>
      </c>
      <c r="C62" t="s">
        <v>12</v>
      </c>
      <c r="D62" t="s">
        <v>34</v>
      </c>
      <c r="E62" t="s">
        <v>35</v>
      </c>
      <c r="F62">
        <v>1</v>
      </c>
      <c r="G62">
        <v>3053.45</v>
      </c>
    </row>
    <row r="63" spans="1:7" x14ac:dyDescent="0.25">
      <c r="A63" t="s">
        <v>111</v>
      </c>
      <c r="B63" s="2">
        <v>46248</v>
      </c>
      <c r="C63" t="s">
        <v>16</v>
      </c>
      <c r="D63" t="s">
        <v>17</v>
      </c>
      <c r="E63" t="s">
        <v>51</v>
      </c>
      <c r="F63">
        <v>1</v>
      </c>
      <c r="G63">
        <v>1362.68</v>
      </c>
    </row>
    <row r="64" spans="1:7" x14ac:dyDescent="0.25">
      <c r="A64" t="s">
        <v>112</v>
      </c>
      <c r="B64" s="2">
        <v>46136</v>
      </c>
      <c r="C64" t="s">
        <v>12</v>
      </c>
      <c r="D64" t="s">
        <v>34</v>
      </c>
      <c r="E64" t="s">
        <v>37</v>
      </c>
      <c r="F64">
        <v>3</v>
      </c>
      <c r="G64">
        <v>5838.1</v>
      </c>
    </row>
    <row r="65" spans="1:7" x14ac:dyDescent="0.25">
      <c r="A65" t="s">
        <v>113</v>
      </c>
      <c r="B65" s="2">
        <v>46145</v>
      </c>
      <c r="C65" t="s">
        <v>12</v>
      </c>
      <c r="D65" t="s">
        <v>22</v>
      </c>
      <c r="E65" t="s">
        <v>23</v>
      </c>
      <c r="F65">
        <v>4</v>
      </c>
      <c r="G65">
        <v>8345.15</v>
      </c>
    </row>
    <row r="66" spans="1:7" x14ac:dyDescent="0.25">
      <c r="A66" t="s">
        <v>114</v>
      </c>
      <c r="B66" s="2">
        <v>46047</v>
      </c>
      <c r="C66" t="s">
        <v>16</v>
      </c>
      <c r="D66" t="s">
        <v>42</v>
      </c>
      <c r="E66" t="s">
        <v>64</v>
      </c>
      <c r="F66">
        <v>2</v>
      </c>
      <c r="G66">
        <v>6565.61</v>
      </c>
    </row>
    <row r="67" spans="1:7" x14ac:dyDescent="0.25">
      <c r="A67" t="s">
        <v>115</v>
      </c>
      <c r="B67" s="2">
        <v>46168</v>
      </c>
      <c r="C67" t="s">
        <v>12</v>
      </c>
      <c r="D67" t="s">
        <v>13</v>
      </c>
      <c r="E67" t="s">
        <v>104</v>
      </c>
      <c r="F67">
        <v>6</v>
      </c>
      <c r="G67">
        <v>6463.6</v>
      </c>
    </row>
    <row r="68" spans="1:7" x14ac:dyDescent="0.25">
      <c r="A68" t="s">
        <v>116</v>
      </c>
      <c r="B68" s="2">
        <v>46102</v>
      </c>
      <c r="C68" t="s">
        <v>12</v>
      </c>
      <c r="D68" t="s">
        <v>13</v>
      </c>
      <c r="E68" t="s">
        <v>104</v>
      </c>
      <c r="F68">
        <v>1</v>
      </c>
      <c r="G68">
        <v>2186.65</v>
      </c>
    </row>
    <row r="69" spans="1:7" x14ac:dyDescent="0.25">
      <c r="A69" t="s">
        <v>117</v>
      </c>
      <c r="B69" s="2">
        <v>46167</v>
      </c>
      <c r="C69" t="s">
        <v>16</v>
      </c>
      <c r="D69" t="s">
        <v>25</v>
      </c>
      <c r="E69" t="s">
        <v>26</v>
      </c>
      <c r="F69">
        <v>2</v>
      </c>
      <c r="G69">
        <v>5366.08</v>
      </c>
    </row>
    <row r="70" spans="1:7" x14ac:dyDescent="0.25">
      <c r="A70" t="s">
        <v>118</v>
      </c>
      <c r="B70" s="2">
        <v>46276</v>
      </c>
      <c r="C70" t="s">
        <v>16</v>
      </c>
      <c r="D70" t="s">
        <v>25</v>
      </c>
      <c r="E70" t="s">
        <v>31</v>
      </c>
      <c r="F70">
        <v>6</v>
      </c>
      <c r="G70">
        <v>1564.57</v>
      </c>
    </row>
    <row r="71" spans="1:7" x14ac:dyDescent="0.25">
      <c r="A71" t="s">
        <v>119</v>
      </c>
      <c r="B71" s="2">
        <v>46174</v>
      </c>
      <c r="C71" t="s">
        <v>8</v>
      </c>
      <c r="D71" t="s">
        <v>9</v>
      </c>
      <c r="E71" t="s">
        <v>10</v>
      </c>
      <c r="F71">
        <v>6</v>
      </c>
      <c r="G71">
        <v>5850.42</v>
      </c>
    </row>
    <row r="72" spans="1:7" x14ac:dyDescent="0.25">
      <c r="A72" t="s">
        <v>120</v>
      </c>
      <c r="B72" s="2">
        <v>46244</v>
      </c>
      <c r="C72" t="s">
        <v>8</v>
      </c>
      <c r="D72" t="s">
        <v>9</v>
      </c>
      <c r="E72" t="s">
        <v>20</v>
      </c>
      <c r="F72">
        <v>3</v>
      </c>
      <c r="G72">
        <v>4877.1499999999996</v>
      </c>
    </row>
    <row r="73" spans="1:7" x14ac:dyDescent="0.25">
      <c r="A73" t="s">
        <v>121</v>
      </c>
      <c r="B73" s="2">
        <v>46092</v>
      </c>
      <c r="C73" t="s">
        <v>8</v>
      </c>
      <c r="D73" t="s">
        <v>48</v>
      </c>
      <c r="E73" t="s">
        <v>122</v>
      </c>
      <c r="F73">
        <v>1</v>
      </c>
      <c r="G73">
        <v>8489.94</v>
      </c>
    </row>
    <row r="74" spans="1:7" x14ac:dyDescent="0.25">
      <c r="A74" t="s">
        <v>123</v>
      </c>
      <c r="B74" s="2">
        <v>46269</v>
      </c>
      <c r="C74" t="s">
        <v>16</v>
      </c>
      <c r="D74" t="s">
        <v>42</v>
      </c>
      <c r="E74" t="s">
        <v>43</v>
      </c>
      <c r="F74">
        <v>6</v>
      </c>
      <c r="G74">
        <v>5211.4799999999996</v>
      </c>
    </row>
    <row r="75" spans="1:7" x14ac:dyDescent="0.25">
      <c r="A75" t="s">
        <v>124</v>
      </c>
      <c r="B75" s="2">
        <v>46051</v>
      </c>
      <c r="C75" t="s">
        <v>12</v>
      </c>
      <c r="D75" t="s">
        <v>22</v>
      </c>
      <c r="E75" t="s">
        <v>23</v>
      </c>
      <c r="F75">
        <v>8</v>
      </c>
      <c r="G75">
        <v>616.44000000000005</v>
      </c>
    </row>
    <row r="76" spans="1:7" x14ac:dyDescent="0.25">
      <c r="A76" t="s">
        <v>125</v>
      </c>
      <c r="B76" s="2">
        <v>46108</v>
      </c>
      <c r="C76" t="s">
        <v>16</v>
      </c>
      <c r="D76" t="s">
        <v>17</v>
      </c>
      <c r="E76" t="s">
        <v>18</v>
      </c>
      <c r="F76">
        <v>4</v>
      </c>
      <c r="G76">
        <v>3539.89</v>
      </c>
    </row>
    <row r="77" spans="1:7" x14ac:dyDescent="0.25">
      <c r="A77" t="s">
        <v>126</v>
      </c>
      <c r="B77" s="2">
        <v>46210</v>
      </c>
      <c r="C77" t="s">
        <v>16</v>
      </c>
      <c r="D77" t="s">
        <v>42</v>
      </c>
      <c r="E77" t="s">
        <v>64</v>
      </c>
      <c r="F77">
        <v>7</v>
      </c>
      <c r="G77">
        <v>715.91</v>
      </c>
    </row>
    <row r="78" spans="1:7" x14ac:dyDescent="0.25">
      <c r="A78" t="s">
        <v>127</v>
      </c>
      <c r="B78" s="2">
        <v>46085</v>
      </c>
      <c r="C78" t="s">
        <v>16</v>
      </c>
      <c r="D78" t="s">
        <v>17</v>
      </c>
      <c r="E78" t="s">
        <v>79</v>
      </c>
      <c r="F78">
        <v>2</v>
      </c>
      <c r="G78">
        <v>723.65</v>
      </c>
    </row>
    <row r="79" spans="1:7" x14ac:dyDescent="0.25">
      <c r="A79" t="s">
        <v>128</v>
      </c>
      <c r="B79" s="2">
        <v>46062</v>
      </c>
      <c r="C79" t="s">
        <v>16</v>
      </c>
      <c r="D79" t="s">
        <v>25</v>
      </c>
      <c r="E79" t="s">
        <v>55</v>
      </c>
      <c r="F79">
        <v>7</v>
      </c>
      <c r="G79">
        <v>3143.74</v>
      </c>
    </row>
    <row r="80" spans="1:7" x14ac:dyDescent="0.25">
      <c r="A80" t="s">
        <v>129</v>
      </c>
      <c r="B80" s="2">
        <v>46125</v>
      </c>
      <c r="C80" t="s">
        <v>8</v>
      </c>
      <c r="D80" t="s">
        <v>48</v>
      </c>
      <c r="E80" t="s">
        <v>49</v>
      </c>
      <c r="F80">
        <v>7</v>
      </c>
      <c r="G80">
        <v>4731.09</v>
      </c>
    </row>
    <row r="81" spans="1:7" x14ac:dyDescent="0.25">
      <c r="A81" t="s">
        <v>130</v>
      </c>
      <c r="B81" s="2">
        <v>46026</v>
      </c>
      <c r="C81" t="s">
        <v>16</v>
      </c>
      <c r="D81" t="s">
        <v>25</v>
      </c>
      <c r="E81" t="s">
        <v>31</v>
      </c>
      <c r="F81">
        <v>3</v>
      </c>
      <c r="G81">
        <v>864.52</v>
      </c>
    </row>
    <row r="82" spans="1:7" x14ac:dyDescent="0.25">
      <c r="A82" t="s">
        <v>131</v>
      </c>
      <c r="B82" s="2">
        <v>46115</v>
      </c>
      <c r="C82" t="s">
        <v>8</v>
      </c>
      <c r="D82" t="s">
        <v>39</v>
      </c>
      <c r="E82" t="s">
        <v>57</v>
      </c>
      <c r="F82">
        <v>7</v>
      </c>
      <c r="G82">
        <v>6067.43</v>
      </c>
    </row>
    <row r="83" spans="1:7" x14ac:dyDescent="0.25">
      <c r="A83" t="s">
        <v>132</v>
      </c>
      <c r="B83" s="2">
        <v>46082</v>
      </c>
      <c r="C83" t="s">
        <v>16</v>
      </c>
      <c r="D83" t="s">
        <v>17</v>
      </c>
      <c r="E83" t="s">
        <v>51</v>
      </c>
      <c r="F83">
        <v>2</v>
      </c>
      <c r="G83">
        <v>3387.67</v>
      </c>
    </row>
    <row r="84" spans="1:7" x14ac:dyDescent="0.25">
      <c r="A84" t="s">
        <v>133</v>
      </c>
      <c r="B84" s="2">
        <v>46168</v>
      </c>
      <c r="C84" t="s">
        <v>8</v>
      </c>
      <c r="D84" t="s">
        <v>9</v>
      </c>
      <c r="E84" t="s">
        <v>93</v>
      </c>
      <c r="F84">
        <v>5</v>
      </c>
      <c r="G84">
        <v>4769.53</v>
      </c>
    </row>
    <row r="85" spans="1:7" x14ac:dyDescent="0.25">
      <c r="A85" t="s">
        <v>134</v>
      </c>
      <c r="B85" s="2">
        <v>46282</v>
      </c>
      <c r="C85" t="s">
        <v>16</v>
      </c>
      <c r="D85" t="s">
        <v>42</v>
      </c>
      <c r="E85" t="s">
        <v>64</v>
      </c>
      <c r="F85">
        <v>4</v>
      </c>
      <c r="G85">
        <v>8022.9</v>
      </c>
    </row>
    <row r="86" spans="1:7" x14ac:dyDescent="0.25">
      <c r="A86" t="s">
        <v>135</v>
      </c>
      <c r="B86" s="2">
        <v>46193</v>
      </c>
      <c r="C86" t="s">
        <v>8</v>
      </c>
      <c r="D86" t="s">
        <v>39</v>
      </c>
      <c r="E86" t="s">
        <v>40</v>
      </c>
      <c r="F86">
        <v>8</v>
      </c>
      <c r="G86">
        <v>5433.82</v>
      </c>
    </row>
    <row r="87" spans="1:7" x14ac:dyDescent="0.25">
      <c r="A87" t="s">
        <v>136</v>
      </c>
      <c r="B87" s="2">
        <v>46181</v>
      </c>
      <c r="C87" t="s">
        <v>16</v>
      </c>
      <c r="D87" t="s">
        <v>17</v>
      </c>
      <c r="E87" t="s">
        <v>79</v>
      </c>
      <c r="F87">
        <v>8</v>
      </c>
      <c r="G87">
        <v>8096.27</v>
      </c>
    </row>
    <row r="88" spans="1:7" x14ac:dyDescent="0.25">
      <c r="A88" t="s">
        <v>137</v>
      </c>
      <c r="B88" s="2">
        <v>46218</v>
      </c>
      <c r="C88" t="s">
        <v>8</v>
      </c>
      <c r="D88" t="s">
        <v>9</v>
      </c>
      <c r="E88" t="s">
        <v>20</v>
      </c>
      <c r="F88">
        <v>4</v>
      </c>
      <c r="G88">
        <v>3522.14</v>
      </c>
    </row>
    <row r="89" spans="1:7" x14ac:dyDescent="0.25">
      <c r="A89" t="s">
        <v>138</v>
      </c>
      <c r="B89" s="2">
        <v>46028</v>
      </c>
      <c r="C89" t="s">
        <v>12</v>
      </c>
      <c r="D89" t="s">
        <v>34</v>
      </c>
      <c r="E89" t="s">
        <v>35</v>
      </c>
      <c r="F89">
        <v>4</v>
      </c>
      <c r="G89">
        <v>8240.44</v>
      </c>
    </row>
    <row r="90" spans="1:7" x14ac:dyDescent="0.25">
      <c r="A90" t="s">
        <v>139</v>
      </c>
      <c r="B90" s="2">
        <v>46176</v>
      </c>
      <c r="C90" t="s">
        <v>8</v>
      </c>
      <c r="D90" t="s">
        <v>39</v>
      </c>
      <c r="E90" t="s">
        <v>45</v>
      </c>
      <c r="F90">
        <v>4</v>
      </c>
      <c r="G90">
        <v>7658.81</v>
      </c>
    </row>
    <row r="91" spans="1:7" x14ac:dyDescent="0.25">
      <c r="A91" t="s">
        <v>140</v>
      </c>
      <c r="B91" s="2">
        <v>46117</v>
      </c>
      <c r="C91" t="s">
        <v>16</v>
      </c>
      <c r="D91" t="s">
        <v>25</v>
      </c>
      <c r="E91" t="s">
        <v>31</v>
      </c>
      <c r="F91">
        <v>3</v>
      </c>
      <c r="G91">
        <v>6377.4</v>
      </c>
    </row>
    <row r="92" spans="1:7" x14ac:dyDescent="0.25">
      <c r="A92" t="s">
        <v>141</v>
      </c>
      <c r="B92" s="2">
        <v>46125</v>
      </c>
      <c r="C92" t="s">
        <v>8</v>
      </c>
      <c r="D92" t="s">
        <v>9</v>
      </c>
      <c r="E92" t="s">
        <v>20</v>
      </c>
      <c r="F92">
        <v>6</v>
      </c>
      <c r="G92">
        <v>831.83</v>
      </c>
    </row>
    <row r="93" spans="1:7" x14ac:dyDescent="0.25">
      <c r="A93" t="s">
        <v>142</v>
      </c>
      <c r="B93" s="2">
        <v>46047</v>
      </c>
      <c r="C93" t="s">
        <v>16</v>
      </c>
      <c r="D93" t="s">
        <v>17</v>
      </c>
      <c r="E93" t="s">
        <v>79</v>
      </c>
      <c r="F93">
        <v>4</v>
      </c>
      <c r="G93">
        <v>5256.75</v>
      </c>
    </row>
    <row r="94" spans="1:7" x14ac:dyDescent="0.25">
      <c r="A94" t="s">
        <v>143</v>
      </c>
      <c r="B94" s="2">
        <v>46076</v>
      </c>
      <c r="C94" t="s">
        <v>12</v>
      </c>
      <c r="D94" t="s">
        <v>13</v>
      </c>
      <c r="E94" t="s">
        <v>66</v>
      </c>
      <c r="F94">
        <v>5</v>
      </c>
      <c r="G94">
        <v>7656.25</v>
      </c>
    </row>
    <row r="95" spans="1:7" x14ac:dyDescent="0.25">
      <c r="A95" t="s">
        <v>144</v>
      </c>
      <c r="B95" s="2">
        <v>46241</v>
      </c>
      <c r="C95" t="s">
        <v>8</v>
      </c>
      <c r="D95" t="s">
        <v>48</v>
      </c>
      <c r="E95" t="s">
        <v>122</v>
      </c>
      <c r="F95">
        <v>5</v>
      </c>
      <c r="G95">
        <v>7794.58</v>
      </c>
    </row>
    <row r="96" spans="1:7" x14ac:dyDescent="0.25">
      <c r="A96" t="s">
        <v>145</v>
      </c>
      <c r="B96" s="2">
        <v>46026</v>
      </c>
      <c r="C96" t="s">
        <v>12</v>
      </c>
      <c r="D96" t="s">
        <v>13</v>
      </c>
      <c r="E96" t="s">
        <v>66</v>
      </c>
      <c r="F96">
        <v>6</v>
      </c>
      <c r="G96">
        <v>8455.4500000000007</v>
      </c>
    </row>
    <row r="97" spans="1:7" x14ac:dyDescent="0.25">
      <c r="A97" t="s">
        <v>146</v>
      </c>
      <c r="B97" s="2">
        <v>46026</v>
      </c>
      <c r="C97" t="s">
        <v>12</v>
      </c>
      <c r="D97" t="s">
        <v>13</v>
      </c>
      <c r="E97" t="s">
        <v>66</v>
      </c>
      <c r="F97">
        <v>5</v>
      </c>
      <c r="G97">
        <v>1360.11</v>
      </c>
    </row>
    <row r="98" spans="1:7" x14ac:dyDescent="0.25">
      <c r="A98" t="s">
        <v>147</v>
      </c>
      <c r="B98" s="2">
        <v>46090</v>
      </c>
      <c r="C98" t="s">
        <v>8</v>
      </c>
      <c r="D98" t="s">
        <v>48</v>
      </c>
      <c r="E98" t="s">
        <v>49</v>
      </c>
      <c r="F98">
        <v>4</v>
      </c>
      <c r="G98">
        <v>3261.87</v>
      </c>
    </row>
    <row r="99" spans="1:7" x14ac:dyDescent="0.25">
      <c r="A99" t="s">
        <v>148</v>
      </c>
      <c r="B99" s="2">
        <v>46057</v>
      </c>
      <c r="C99" t="s">
        <v>8</v>
      </c>
      <c r="D99" t="s">
        <v>39</v>
      </c>
      <c r="E99" t="s">
        <v>77</v>
      </c>
      <c r="F99">
        <v>1</v>
      </c>
      <c r="G99">
        <v>4537.28</v>
      </c>
    </row>
    <row r="100" spans="1:7" x14ac:dyDescent="0.25">
      <c r="A100" t="s">
        <v>149</v>
      </c>
      <c r="B100" s="2">
        <v>46111</v>
      </c>
      <c r="C100" t="s">
        <v>8</v>
      </c>
      <c r="D100" t="s">
        <v>9</v>
      </c>
      <c r="E100" t="s">
        <v>20</v>
      </c>
      <c r="F100">
        <v>4</v>
      </c>
      <c r="G100">
        <v>2817.62</v>
      </c>
    </row>
    <row r="101" spans="1:7" x14ac:dyDescent="0.25">
      <c r="A101" t="s">
        <v>150</v>
      </c>
      <c r="B101" s="2">
        <v>46054</v>
      </c>
      <c r="C101" t="s">
        <v>8</v>
      </c>
      <c r="D101" t="s">
        <v>48</v>
      </c>
      <c r="E101" t="s">
        <v>122</v>
      </c>
      <c r="F101">
        <v>7</v>
      </c>
      <c r="G101">
        <v>1076.8900000000001</v>
      </c>
    </row>
  </sheetData>
  <autoFilter ref="A1:G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20.5703125" bestFit="1" customWidth="1"/>
    <col min="2" max="2" width="28" customWidth="1"/>
    <col min="4" max="4" width="20.5703125" bestFit="1" customWidth="1"/>
    <col min="5" max="5" width="20.140625" customWidth="1"/>
    <col min="6" max="6" width="18.5703125" customWidth="1"/>
  </cols>
  <sheetData>
    <row r="1" spans="1:5" ht="28.5" customHeight="1" x14ac:dyDescent="0.35">
      <c r="A1" s="4" t="s">
        <v>2</v>
      </c>
      <c r="B1" s="4" t="s">
        <v>155</v>
      </c>
      <c r="D1" s="5" t="s">
        <v>151</v>
      </c>
      <c r="E1" s="6" t="s">
        <v>152</v>
      </c>
    </row>
    <row r="2" spans="1:5" ht="27" customHeight="1" x14ac:dyDescent="0.25">
      <c r="A2" s="7" t="s">
        <v>8</v>
      </c>
      <c r="B2" s="7">
        <f>COUNTIF('Raw Data'!C:C,A2)</f>
        <v>31</v>
      </c>
      <c r="D2" s="8" t="str">
        <f>INDEX(A2:A4,MATCH(MAX(B2:B4),B2:B4,0))</f>
        <v>Office Supplies</v>
      </c>
      <c r="E2" s="7">
        <f>MAX(B2:B4)</f>
        <v>39</v>
      </c>
    </row>
    <row r="3" spans="1:5" ht="24" customHeight="1" x14ac:dyDescent="0.25">
      <c r="A3" s="7" t="s">
        <v>16</v>
      </c>
      <c r="B3" s="7">
        <f>COUNTIF('Raw Data'!C:C,A3)</f>
        <v>39</v>
      </c>
    </row>
    <row r="4" spans="1:5" x14ac:dyDescent="0.25">
      <c r="A4" s="7" t="s">
        <v>12</v>
      </c>
      <c r="B4" s="7">
        <f>COUNTIF('Raw Data'!C:C,A4)</f>
        <v>30</v>
      </c>
    </row>
    <row r="6" spans="1:5" ht="18.75" customHeight="1" x14ac:dyDescent="0.25">
      <c r="A6" s="3" t="s">
        <v>153</v>
      </c>
      <c r="B6" s="3" t="s">
        <v>154</v>
      </c>
    </row>
    <row r="7" spans="1:5" ht="27" customHeight="1" x14ac:dyDescent="0.25"/>
    <row r="8" spans="1:5" ht="24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 .</cp:lastModifiedBy>
  <dcterms:created xsi:type="dcterms:W3CDTF">2026-09-22T14:57:51Z</dcterms:created>
  <dcterms:modified xsi:type="dcterms:W3CDTF">2026-09-22T15:28:21Z</dcterms:modified>
</cp:coreProperties>
</file>